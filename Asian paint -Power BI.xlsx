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e4662795c7ffb4b/Desktop/"/>
    </mc:Choice>
  </mc:AlternateContent>
  <xr:revisionPtr revIDLastSave="239" documentId="8_{B11C601F-4FBC-4F10-8B6E-F3160044F8A9}" xr6:coauthVersionLast="47" xr6:coauthVersionMax="47" xr10:uidLastSave="{CE2FB04C-4686-49A2-A421-78643BF4CA40}"/>
  <bookViews>
    <workbookView xWindow="-110" yWindow="-110" windowWidth="19420" windowHeight="10300" firstSheet="2" activeTab="6" xr2:uid="{00000000-000D-0000-FFFF-FFFF00000000}"/>
  </bookViews>
  <sheets>
    <sheet name="Balance Sheet" sheetId="1" r:id="rId1"/>
    <sheet name="Profit &amp; Loss" sheetId="2" r:id="rId2"/>
    <sheet name="Analysis" sheetId="5" r:id="rId3"/>
    <sheet name="BS Analysis" sheetId="6" r:id="rId4"/>
    <sheet name="PL Analysis" sheetId="7" r:id="rId5"/>
    <sheet name="Waterfall" sheetId="8" r:id="rId6"/>
    <sheet name="Waterfall with years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0" l="1"/>
  <c r="C6" i="10"/>
  <c r="X3" i="7"/>
  <c r="T3" i="7"/>
  <c r="Y3" i="7" s="1"/>
  <c r="AA3" i="7" s="1"/>
  <c r="R3" i="7"/>
  <c r="M3" i="7"/>
  <c r="X2" i="7"/>
  <c r="P2" i="7"/>
  <c r="R2" i="7" s="1"/>
  <c r="T2" i="7" s="1"/>
  <c r="Y2" i="7" s="1"/>
  <c r="AA2" i="7" s="1"/>
  <c r="M2" i="7"/>
  <c r="AR3" i="6"/>
  <c r="AQ3" i="6"/>
  <c r="AH3" i="6"/>
  <c r="AA3" i="6"/>
  <c r="W3" i="6"/>
  <c r="N3" i="6"/>
  <c r="AQ2" i="6"/>
  <c r="AH2" i="6"/>
  <c r="AR2" i="6" s="1"/>
  <c r="AA2" i="6"/>
  <c r="V2" i="6"/>
  <c r="N2" i="6"/>
  <c r="W2" i="6" s="1"/>
  <c r="E5" i="2"/>
  <c r="E9" i="2"/>
  <c r="E17" i="2"/>
  <c r="E21" i="2"/>
  <c r="D2" i="2"/>
  <c r="E2" i="2" s="1"/>
  <c r="D3" i="2"/>
  <c r="E3" i="2" s="1"/>
  <c r="D4" i="2"/>
  <c r="E4" i="2" s="1"/>
  <c r="D5" i="2"/>
  <c r="D6" i="2"/>
  <c r="E6" i="2" s="1"/>
  <c r="D7" i="2"/>
  <c r="E7" i="2" s="1"/>
  <c r="D8" i="2"/>
  <c r="E8" i="2" s="1"/>
  <c r="D9" i="2"/>
  <c r="D10" i="2"/>
  <c r="E10" i="2" s="1"/>
  <c r="D11" i="2"/>
  <c r="E11" i="2" s="1"/>
  <c r="D12" i="2"/>
  <c r="E12" i="2" s="1"/>
  <c r="D14" i="2"/>
  <c r="E14" i="2" s="1"/>
  <c r="D15" i="2"/>
  <c r="E15" i="2" s="1"/>
  <c r="D17" i="2"/>
  <c r="D19" i="2"/>
  <c r="E19" i="2" s="1"/>
  <c r="D21" i="2"/>
  <c r="D22" i="2"/>
  <c r="E22" i="2" s="1"/>
  <c r="D23" i="2"/>
  <c r="E23" i="2" s="1"/>
  <c r="D26" i="2"/>
  <c r="E26" i="2" s="1"/>
  <c r="E5" i="1"/>
  <c r="E9" i="1"/>
  <c r="E13" i="1"/>
  <c r="E17" i="1"/>
  <c r="E21" i="1"/>
  <c r="E29" i="1"/>
  <c r="E33" i="1"/>
  <c r="E37" i="1"/>
  <c r="E41" i="1"/>
  <c r="D2" i="1"/>
  <c r="E2" i="1" s="1"/>
  <c r="D3" i="1"/>
  <c r="E3" i="1" s="1"/>
  <c r="D4" i="1"/>
  <c r="E4" i="1" s="1"/>
  <c r="D5" i="1"/>
  <c r="D6" i="1"/>
  <c r="E6" i="1" s="1"/>
  <c r="D7" i="1"/>
  <c r="E7" i="1" s="1"/>
  <c r="D8" i="1"/>
  <c r="E8" i="1" s="1"/>
  <c r="D9" i="1"/>
  <c r="D10" i="1"/>
  <c r="E10" i="1" s="1"/>
  <c r="D11" i="1"/>
  <c r="E11" i="1" s="1"/>
  <c r="D12" i="1"/>
  <c r="E12" i="1" s="1"/>
  <c r="D13" i="1"/>
  <c r="D15" i="1"/>
  <c r="E15" i="1" s="1"/>
  <c r="D16" i="1"/>
  <c r="E16" i="1" s="1"/>
  <c r="D17" i="1"/>
  <c r="D18" i="1"/>
  <c r="E18" i="1" s="1"/>
  <c r="D19" i="1"/>
  <c r="E19" i="1" s="1"/>
  <c r="D20" i="1"/>
  <c r="E20" i="1" s="1"/>
  <c r="D21" i="1"/>
  <c r="D24" i="1"/>
  <c r="E24" i="1" s="1"/>
  <c r="D25" i="1"/>
  <c r="E25" i="1" s="1"/>
  <c r="D26" i="1"/>
  <c r="E26" i="1" s="1"/>
  <c r="D28" i="1"/>
  <c r="E28" i="1" s="1"/>
  <c r="D29" i="1"/>
  <c r="D30" i="1"/>
  <c r="E30" i="1" s="1"/>
  <c r="D31" i="1"/>
  <c r="E31" i="1" s="1"/>
  <c r="D32" i="1"/>
  <c r="E32" i="1" s="1"/>
  <c r="D33" i="1"/>
  <c r="D35" i="1"/>
  <c r="E35" i="1" s="1"/>
  <c r="D36" i="1"/>
  <c r="E36" i="1" s="1"/>
  <c r="D37" i="1"/>
  <c r="D38" i="1"/>
  <c r="E38" i="1" s="1"/>
  <c r="D39" i="1"/>
  <c r="E39" i="1" s="1"/>
  <c r="D40" i="1"/>
  <c r="E40" i="1" s="1"/>
  <c r="D41" i="1"/>
  <c r="D42" i="1"/>
  <c r="E42" i="1" s="1"/>
  <c r="C27" i="1"/>
  <c r="C43" i="1"/>
  <c r="B43" i="1"/>
  <c r="D43" i="1" s="1"/>
  <c r="E43" i="1" s="1"/>
  <c r="C34" i="1"/>
  <c r="B34" i="1"/>
  <c r="D34" i="1" s="1"/>
  <c r="E34" i="1" s="1"/>
  <c r="B27" i="1"/>
  <c r="B22" i="1"/>
  <c r="C14" i="1"/>
  <c r="B14" i="1"/>
  <c r="D14" i="1" s="1"/>
  <c r="E14" i="1" s="1"/>
  <c r="C24" i="2"/>
  <c r="B24" i="2"/>
  <c r="D24" i="2" s="1"/>
  <c r="E24" i="2" s="1"/>
  <c r="C18" i="2"/>
  <c r="C20" i="2" s="1"/>
  <c r="C13" i="2"/>
  <c r="B13" i="2"/>
  <c r="C23" i="1"/>
  <c r="C25" i="2" l="1"/>
  <c r="D13" i="2"/>
  <c r="E13" i="2" s="1"/>
  <c r="C27" i="2"/>
  <c r="D22" i="1"/>
  <c r="E22" i="1" s="1"/>
  <c r="D27" i="1"/>
  <c r="E27" i="1" s="1"/>
  <c r="B44" i="1"/>
  <c r="D44" i="1" s="1"/>
  <c r="E44" i="1" s="1"/>
  <c r="C44" i="1"/>
  <c r="C46" i="1" s="1"/>
  <c r="B23" i="1"/>
  <c r="B16" i="2"/>
  <c r="B18" i="2" l="1"/>
  <c r="D16" i="2"/>
  <c r="E16" i="2" s="1"/>
  <c r="D23" i="1"/>
  <c r="E23" i="1" s="1"/>
  <c r="B46" i="1"/>
  <c r="D18" i="2" l="1"/>
  <c r="E18" i="2" s="1"/>
  <c r="B20" i="2"/>
  <c r="D20" i="2" l="1"/>
  <c r="E20" i="2" s="1"/>
  <c r="B25" i="2"/>
  <c r="D25" i="2" l="1"/>
  <c r="E25" i="2" s="1"/>
  <c r="B27" i="2"/>
  <c r="D27" i="2" s="1"/>
  <c r="E27" i="2" s="1"/>
</calcChain>
</file>

<file path=xl/sharedStrings.xml><?xml version="1.0" encoding="utf-8"?>
<sst xmlns="http://schemas.openxmlformats.org/spreadsheetml/2006/main" count="187" uniqueCount="91">
  <si>
    <t>Particulars</t>
  </si>
  <si>
    <t>FY2025</t>
  </si>
  <si>
    <t>FY2024</t>
  </si>
  <si>
    <t>Property, Plant and Equipment</t>
  </si>
  <si>
    <t>Right-of-Use Assets</t>
  </si>
  <si>
    <t>Capital work-in-progress</t>
  </si>
  <si>
    <t>Goodwill</t>
  </si>
  <si>
    <t>Other Intangible Assets</t>
  </si>
  <si>
    <t>Investments in Associates</t>
  </si>
  <si>
    <t>Investments (Non-current)</t>
  </si>
  <si>
    <t>Trade Receivables (Non-current)</t>
  </si>
  <si>
    <t>Other Financial Assets (Non-current)</t>
  </si>
  <si>
    <t>Deferred Tax Assets</t>
  </si>
  <si>
    <t>Income Tax Assets</t>
  </si>
  <si>
    <t>Other Non-Current Assets</t>
  </si>
  <si>
    <t>Total Non-Current Assets</t>
  </si>
  <si>
    <t>Inventories</t>
  </si>
  <si>
    <t>Investments (Current)</t>
  </si>
  <si>
    <t>Trade Receivables</t>
  </si>
  <si>
    <t>Cash and Cash Equivalents</t>
  </si>
  <si>
    <t>Other Balances with Banks</t>
  </si>
  <si>
    <t>Other Financial Assets</t>
  </si>
  <si>
    <t>Other Current Assets</t>
  </si>
  <si>
    <t>Total Current Assets</t>
  </si>
  <si>
    <t>TOTAL ASSETS</t>
  </si>
  <si>
    <t>Equity Share Capital</t>
  </si>
  <si>
    <t>Other Equity</t>
  </si>
  <si>
    <t>Total Equity</t>
  </si>
  <si>
    <t>Borrowings (Non-current)</t>
  </si>
  <si>
    <t>Lease Liabilities (Non-current)</t>
  </si>
  <si>
    <t>Other Financial Liabilities (Non-current)</t>
  </si>
  <si>
    <t>Provisions (Non-current)</t>
  </si>
  <si>
    <t>Deferred Tax Liabilities</t>
  </si>
  <si>
    <t>Other Non-Current Liabilities</t>
  </si>
  <si>
    <t>Total Non-Current Liabilities</t>
  </si>
  <si>
    <t>Borrowings (Current)</t>
  </si>
  <si>
    <t>Lease Liabilities (Current)</t>
  </si>
  <si>
    <t>Trade Payables - MSME</t>
  </si>
  <si>
    <t>Trade Payables - Others</t>
  </si>
  <si>
    <t>Other Financial Liabilities</t>
  </si>
  <si>
    <t>Other Current Liabilities</t>
  </si>
  <si>
    <t>Provisions (Current)</t>
  </si>
  <si>
    <t>Income Tax Liabilities</t>
  </si>
  <si>
    <t>Total Current Liabilities</t>
  </si>
  <si>
    <t>TOTAL EQUITY &amp; LIABILITIES</t>
  </si>
  <si>
    <t>Revenue from Sale of Products</t>
  </si>
  <si>
    <t>Revenue from Sale of Services</t>
  </si>
  <si>
    <t>Other Operating Revenue</t>
  </si>
  <si>
    <t>Other Income</t>
  </si>
  <si>
    <t>Total Income</t>
  </si>
  <si>
    <t>Cost of Materials Consumed</t>
  </si>
  <si>
    <t>Purchases of Stock-in-Trade</t>
  </si>
  <si>
    <t>Changes in Inventories</t>
  </si>
  <si>
    <t>Employee Benefits Expense</t>
  </si>
  <si>
    <t>Other Expenses</t>
  </si>
  <si>
    <t>Total Expenses</t>
  </si>
  <si>
    <t>EBITDA</t>
  </si>
  <si>
    <t>Finance Costs</t>
  </si>
  <si>
    <t>Depreciation &amp; Amortisation</t>
  </si>
  <si>
    <t>Profit Before Exceptional Items &amp; Tax</t>
  </si>
  <si>
    <t>Exceptional Items</t>
  </si>
  <si>
    <t>Profit Before Tax</t>
  </si>
  <si>
    <t>Current Tax</t>
  </si>
  <si>
    <t>Short Tax Provision Earlier Years</t>
  </si>
  <si>
    <t>Deferred Tax</t>
  </si>
  <si>
    <t>Total Tax Expense</t>
  </si>
  <si>
    <t>Profit After Tax</t>
  </si>
  <si>
    <t>Ratio</t>
  </si>
  <si>
    <t>Net Profit Margin</t>
  </si>
  <si>
    <t>EBITDA Margin</t>
  </si>
  <si>
    <t>Current Ratio</t>
  </si>
  <si>
    <t>Quick Ratio</t>
  </si>
  <si>
    <t>Debt to Equity</t>
  </si>
  <si>
    <t>ROA</t>
  </si>
  <si>
    <t>ROE</t>
  </si>
  <si>
    <t>Asset Turnover</t>
  </si>
  <si>
    <t xml:space="preserve">Check </t>
  </si>
  <si>
    <t xml:space="preserve">Share in associates </t>
  </si>
  <si>
    <t xml:space="preserve">profit before exceptional items and tax </t>
  </si>
  <si>
    <t xml:space="preserve">Non controlling interest </t>
  </si>
  <si>
    <t>Other comprehensive Income</t>
  </si>
  <si>
    <t xml:space="preserve">Income </t>
  </si>
  <si>
    <t>VARIANCE</t>
  </si>
  <si>
    <t>Percentage change</t>
  </si>
  <si>
    <t>Variance</t>
  </si>
  <si>
    <t xml:space="preserve">Percentage change </t>
  </si>
  <si>
    <t>FY24</t>
  </si>
  <si>
    <t>FY25</t>
  </si>
  <si>
    <t>Year</t>
  </si>
  <si>
    <t xml:space="preserve">Attributes </t>
  </si>
  <si>
    <t xml:space="preserve">Values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</si>
</sst>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" fontId="0" fillId="0" borderId="0" xfId="0" applyNumberFormat="1"/>
    <xf numFmtId="0" fontId="2" fillId="2" borderId="0" xfId="0" applyFont="1" applyFill="1" applyAlignment="1">
      <alignment wrapText="1"/>
    </xf>
    <xf numFmtId="0" fontId="2" fillId="2" borderId="0" xfId="0" applyFont="1" applyFill="1"/>
    <xf numFmtId="10" fontId="0" fillId="0" borderId="0" xfId="0" applyNumberFormat="1"/>
    <xf numFmtId="0" fontId="3" fillId="0" borderId="0" xfId="0" applyFont="1"/>
    <xf numFmtId="10" fontId="3" fillId="0" borderId="0" xfId="0" applyNumberFormat="1" applyFont="1"/>
    <xf numFmtId="0" fontId="5" fillId="0" borderId="0" xfId="0" applyFont="1"/>
    <xf numFmtId="10" fontId="2" fillId="2" borderId="0" xfId="0" applyNumberFormat="1" applyFont="1" applyFill="1"/>
    <xf numFmtId="10" fontId="5" fillId="0" borderId="0" xfId="0" applyNumberFormat="1" applyFont="1"/>
    <xf numFmtId="0" fontId="0" fillId="4" borderId="3" xfId="0" applyFill="1" applyBorder="1"/>
    <xf numFmtId="0" fontId="0" fillId="4" borderId="4" xfId="0" applyFill="1" applyBorder="1"/>
    <xf numFmtId="0" fontId="0" fillId="5" borderId="3" xfId="0" applyFill="1" applyBorder="1"/>
    <xf numFmtId="0" fontId="0" fillId="5" borderId="4" xfId="0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3" fillId="3" borderId="1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/>
    <xf numFmtId="0" fontId="2" fillId="4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/>
    <xf numFmtId="0" fontId="0" fillId="0" borderId="7" xfId="0" applyBorder="1"/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/>
    <xf numFmtId="0" fontId="0" fillId="0" borderId="7" xfId="0" applyBorder="1" applyAlignment="1">
      <alignment wrapText="1"/>
    </xf>
  </cellXfs>
  <cellStyles count="1">
    <cellStyle name="Normal" xfId="0" builtinId="0"/>
  </cellStyles>
  <dxfs count="6">
    <dxf>
      <numFmt numFmtId="14" formatCode="0.00%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EA230-6743-4A36-A506-3F859ACB49A1}" name="Table1" displayName="Table1" ref="A1:E44" totalsRowShown="0" headerRowDxfId="5">
  <autoFilter ref="A1:E44" xr:uid="{8CFEA230-6743-4A36-A506-3F859ACB49A1}"/>
  <tableColumns count="5">
    <tableColumn id="1" xr3:uid="{374724F0-BB5E-4D7F-AC2A-088101DB3B32}" name="Particulars"/>
    <tableColumn id="2" xr3:uid="{C99D3ACE-E195-438C-85B6-9965501B914B}" name="FY2025"/>
    <tableColumn id="3" xr3:uid="{C59FCEC8-D75C-48F9-BF19-B8559A5196C5}" name="FY2024"/>
    <tableColumn id="4" xr3:uid="{B4999F3C-560F-45A1-AC7B-49B208FEFA88}" name="VARIANCE" dataDxfId="4">
      <calculatedColumnFormula>Table1[[#This Row],[FY2025]]-Table1[[#This Row],[FY2024]]</calculatedColumnFormula>
    </tableColumn>
    <tableColumn id="5" xr3:uid="{36D75B10-0D99-4D53-96A2-0937E0443D6A}" name="Percentage change" dataDxfId="3">
      <calculatedColumnFormula>Table1[[#This Row],[VARIANCE]]/Table1[[#This Row],[FY2024]]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74D7C-2AC6-4498-9CAE-209E04BB8D16}" name="Table2" displayName="Table2" ref="A1:E27" totalsRowShown="0">
  <autoFilter ref="A1:E27" xr:uid="{05374D7C-2AC6-4498-9CAE-209E04BB8D16}"/>
  <tableColumns count="5">
    <tableColumn id="1" xr3:uid="{7ED9A2D4-639F-47C3-9A9B-14CB2CCEF564}" name="Particulars" dataDxfId="2"/>
    <tableColumn id="2" xr3:uid="{9558833C-166C-46F4-A205-F5ED9E5A9724}" name="FY2025"/>
    <tableColumn id="3" xr3:uid="{9755D1C2-C9D2-47E7-81F4-4E2157732B06}" name="FY2024"/>
    <tableColumn id="4" xr3:uid="{4521956E-E4E3-4517-9B71-0CAE80CD54DE}" name="Variance" dataDxfId="1">
      <calculatedColumnFormula>Table2[[#This Row],[FY2025]]-Table2[[#This Row],[FY2024]]</calculatedColumnFormula>
    </tableColumn>
    <tableColumn id="5" xr3:uid="{041DB8B5-D2F6-4175-BD52-01582CD5306E}" name="Percentage change " dataDxfId="0">
      <calculatedColumnFormula>Table2[[#This Row],[Variance]]/Table2[[#This Row],[FY2024]]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opLeftCell="A34" zoomScale="80" workbookViewId="0">
      <selection sqref="A1:C44"/>
    </sheetView>
  </sheetViews>
  <sheetFormatPr defaultRowHeight="14.5" x14ac:dyDescent="0.35"/>
  <cols>
    <col min="1" max="1" width="41.54296875" customWidth="1"/>
    <col min="2" max="2" width="14.54296875" customWidth="1"/>
    <col min="3" max="3" width="15.26953125" customWidth="1"/>
    <col min="4" max="4" width="18.08984375" customWidth="1"/>
    <col min="5" max="5" width="21.81640625" style="10" customWidth="1"/>
    <col min="11" max="11" width="14.542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1" t="s">
        <v>82</v>
      </c>
      <c r="E1" s="12" t="s">
        <v>83</v>
      </c>
    </row>
    <row r="2" spans="1:5" x14ac:dyDescent="0.35">
      <c r="A2" t="s">
        <v>3</v>
      </c>
      <c r="B2">
        <v>6787.62</v>
      </c>
      <c r="C2">
        <v>4446.2</v>
      </c>
      <c r="D2">
        <f>Table1[[#This Row],[FY2025]]-Table1[[#This Row],[FY2024]]</f>
        <v>2341.42</v>
      </c>
      <c r="E2" s="10">
        <f>Table1[[#This Row],[VARIANCE]]/Table1[[#This Row],[FY2024]]</f>
        <v>0.52661148846205752</v>
      </c>
    </row>
    <row r="3" spans="1:5" x14ac:dyDescent="0.35">
      <c r="A3" t="s">
        <v>4</v>
      </c>
      <c r="B3">
        <v>1843.72</v>
      </c>
      <c r="C3">
        <v>1856.27</v>
      </c>
      <c r="D3">
        <f>Table1[[#This Row],[FY2025]]-Table1[[#This Row],[FY2024]]</f>
        <v>-12.549999999999955</v>
      </c>
      <c r="E3" s="10">
        <f>Table1[[#This Row],[VARIANCE]]/Table1[[#This Row],[FY2024]]</f>
        <v>-6.7608699165530636E-3</v>
      </c>
    </row>
    <row r="4" spans="1:5" x14ac:dyDescent="0.35">
      <c r="A4" t="s">
        <v>5</v>
      </c>
      <c r="B4">
        <v>1254.49</v>
      </c>
      <c r="C4">
        <v>2698.37</v>
      </c>
      <c r="D4">
        <f>Table1[[#This Row],[FY2025]]-Table1[[#This Row],[FY2024]]</f>
        <v>-1443.8799999999999</v>
      </c>
      <c r="E4" s="10">
        <f>Table1[[#This Row],[VARIANCE]]/Table1[[#This Row],[FY2024]]</f>
        <v>-0.53509340824275398</v>
      </c>
    </row>
    <row r="5" spans="1:5" x14ac:dyDescent="0.35">
      <c r="A5" t="s">
        <v>6</v>
      </c>
      <c r="B5">
        <v>219.58</v>
      </c>
      <c r="C5">
        <v>419.19</v>
      </c>
      <c r="D5">
        <f>Table1[[#This Row],[FY2025]]-Table1[[#This Row],[FY2024]]</f>
        <v>-199.60999999999999</v>
      </c>
      <c r="E5" s="10">
        <f>Table1[[#This Row],[VARIANCE]]/Table1[[#This Row],[FY2024]]</f>
        <v>-0.47618025239151696</v>
      </c>
    </row>
    <row r="6" spans="1:5" x14ac:dyDescent="0.35">
      <c r="A6" t="s">
        <v>7</v>
      </c>
      <c r="B6">
        <v>369.18</v>
      </c>
      <c r="C6">
        <v>424.96</v>
      </c>
      <c r="D6">
        <f>Table1[[#This Row],[FY2025]]-Table1[[#This Row],[FY2024]]</f>
        <v>-55.779999999999973</v>
      </c>
      <c r="E6" s="10">
        <f>Table1[[#This Row],[VARIANCE]]/Table1[[#This Row],[FY2024]]</f>
        <v>-0.13125941265060234</v>
      </c>
    </row>
    <row r="7" spans="1:5" x14ac:dyDescent="0.35">
      <c r="A7" t="s">
        <v>8</v>
      </c>
      <c r="B7">
        <v>608</v>
      </c>
      <c r="C7">
        <v>583.13</v>
      </c>
      <c r="D7">
        <f>Table1[[#This Row],[FY2025]]-Table1[[#This Row],[FY2024]]</f>
        <v>24.870000000000005</v>
      </c>
      <c r="E7" s="10">
        <f>Table1[[#This Row],[VARIANCE]]/Table1[[#This Row],[FY2024]]</f>
        <v>4.2649151990122279E-2</v>
      </c>
    </row>
    <row r="8" spans="1:5" x14ac:dyDescent="0.35">
      <c r="A8" t="s">
        <v>9</v>
      </c>
      <c r="B8">
        <v>871.79</v>
      </c>
      <c r="C8">
        <v>801.38</v>
      </c>
      <c r="D8">
        <f>Table1[[#This Row],[FY2025]]-Table1[[#This Row],[FY2024]]</f>
        <v>70.409999999999968</v>
      </c>
      <c r="E8" s="10">
        <f>Table1[[#This Row],[VARIANCE]]/Table1[[#This Row],[FY2024]]</f>
        <v>8.7860939878709188E-2</v>
      </c>
    </row>
    <row r="9" spans="1:5" x14ac:dyDescent="0.35">
      <c r="A9" t="s">
        <v>10</v>
      </c>
      <c r="B9">
        <v>8.7100000000000009</v>
      </c>
      <c r="C9">
        <v>1.78</v>
      </c>
      <c r="D9">
        <f>Table1[[#This Row],[FY2025]]-Table1[[#This Row],[FY2024]]</f>
        <v>6.9300000000000006</v>
      </c>
      <c r="E9" s="10">
        <f>Table1[[#This Row],[VARIANCE]]/Table1[[#This Row],[FY2024]]</f>
        <v>3.8932584269662924</v>
      </c>
    </row>
    <row r="10" spans="1:5" x14ac:dyDescent="0.35">
      <c r="A10" t="s">
        <v>11</v>
      </c>
      <c r="B10">
        <v>877.84</v>
      </c>
      <c r="C10">
        <v>606.51</v>
      </c>
      <c r="D10">
        <f>Table1[[#This Row],[FY2025]]-Table1[[#This Row],[FY2024]]</f>
        <v>271.33000000000004</v>
      </c>
      <c r="E10" s="10">
        <f>Table1[[#This Row],[VARIANCE]]/Table1[[#This Row],[FY2024]]</f>
        <v>0.44736278049826061</v>
      </c>
    </row>
    <row r="11" spans="1:5" x14ac:dyDescent="0.35">
      <c r="A11" t="s">
        <v>12</v>
      </c>
      <c r="B11">
        <v>16.12</v>
      </c>
      <c r="C11">
        <v>23.32</v>
      </c>
      <c r="D11">
        <f>Table1[[#This Row],[FY2025]]-Table1[[#This Row],[FY2024]]</f>
        <v>-7.1999999999999993</v>
      </c>
      <c r="E11" s="10">
        <f>Table1[[#This Row],[VARIANCE]]/Table1[[#This Row],[FY2024]]</f>
        <v>-0.30874785591766718</v>
      </c>
    </row>
    <row r="12" spans="1:5" x14ac:dyDescent="0.35">
      <c r="A12" t="s">
        <v>13</v>
      </c>
      <c r="B12">
        <v>221.62</v>
      </c>
      <c r="C12">
        <v>198.11</v>
      </c>
      <c r="D12">
        <f>Table1[[#This Row],[FY2025]]-Table1[[#This Row],[FY2024]]</f>
        <v>23.509999999999991</v>
      </c>
      <c r="E12" s="10">
        <f>Table1[[#This Row],[VARIANCE]]/Table1[[#This Row],[FY2024]]</f>
        <v>0.11867144515673106</v>
      </c>
    </row>
    <row r="13" spans="1:5" x14ac:dyDescent="0.35">
      <c r="A13" t="s">
        <v>14</v>
      </c>
      <c r="B13">
        <v>301.02</v>
      </c>
      <c r="C13">
        <v>327.81</v>
      </c>
      <c r="D13">
        <f>Table1[[#This Row],[FY2025]]-Table1[[#This Row],[FY2024]]</f>
        <v>-26.79000000000002</v>
      </c>
      <c r="E13" s="10">
        <f>Table1[[#This Row],[VARIANCE]]/Table1[[#This Row],[FY2024]]</f>
        <v>-8.1724169488423232E-2</v>
      </c>
    </row>
    <row r="14" spans="1:5" x14ac:dyDescent="0.35">
      <c r="A14" s="3" t="s">
        <v>15</v>
      </c>
      <c r="B14" s="3">
        <f>SUM(B2:B13)</f>
        <v>13379.690000000002</v>
      </c>
      <c r="C14" s="3">
        <f>SUM(C2:C13)</f>
        <v>12387.029999999999</v>
      </c>
      <c r="D14">
        <f>Table1[[#This Row],[FY2025]]-Table1[[#This Row],[FY2024]]</f>
        <v>992.66000000000349</v>
      </c>
      <c r="E14" s="10">
        <f>Table1[[#This Row],[VARIANCE]]/Table1[[#This Row],[FY2024]]</f>
        <v>8.0137046572100301E-2</v>
      </c>
    </row>
    <row r="15" spans="1:5" x14ac:dyDescent="0.35">
      <c r="A15" t="s">
        <v>16</v>
      </c>
      <c r="B15">
        <v>6719.27</v>
      </c>
      <c r="C15">
        <v>5923.41</v>
      </c>
      <c r="D15">
        <f>Table1[[#This Row],[FY2025]]-Table1[[#This Row],[FY2024]]</f>
        <v>795.86000000000058</v>
      </c>
      <c r="E15" s="10">
        <f>Table1[[#This Row],[VARIANCE]]/Table1[[#This Row],[FY2024]]</f>
        <v>0.13435841854607408</v>
      </c>
    </row>
    <row r="16" spans="1:5" x14ac:dyDescent="0.35">
      <c r="A16" t="s">
        <v>17</v>
      </c>
      <c r="B16">
        <v>3244.96</v>
      </c>
      <c r="C16">
        <v>3203.41</v>
      </c>
      <c r="D16">
        <f>Table1[[#This Row],[FY2025]]-Table1[[#This Row],[FY2024]]</f>
        <v>41.550000000000182</v>
      </c>
      <c r="E16" s="10">
        <f>Table1[[#This Row],[VARIANCE]]/Table1[[#This Row],[FY2024]]</f>
        <v>1.2970553254188564E-2</v>
      </c>
    </row>
    <row r="17" spans="1:11" x14ac:dyDescent="0.35">
      <c r="A17" t="s">
        <v>18</v>
      </c>
      <c r="B17">
        <v>4313.6499999999996</v>
      </c>
      <c r="C17">
        <v>4889.05</v>
      </c>
      <c r="D17">
        <f>Table1[[#This Row],[FY2025]]-Table1[[#This Row],[FY2024]]</f>
        <v>-575.40000000000055</v>
      </c>
      <c r="E17" s="10">
        <f>Table1[[#This Row],[VARIANCE]]/Table1[[#This Row],[FY2024]]</f>
        <v>-0.11769157607306134</v>
      </c>
    </row>
    <row r="18" spans="1:11" x14ac:dyDescent="0.35">
      <c r="A18" t="s">
        <v>19</v>
      </c>
      <c r="B18">
        <v>445.28</v>
      </c>
      <c r="C18">
        <v>829.34</v>
      </c>
      <c r="D18">
        <f>Table1[[#This Row],[FY2025]]-Table1[[#This Row],[FY2024]]</f>
        <v>-384.06000000000006</v>
      </c>
      <c r="E18" s="10">
        <f>Table1[[#This Row],[VARIANCE]]/Table1[[#This Row],[FY2024]]</f>
        <v>-0.4630911327079365</v>
      </c>
    </row>
    <row r="19" spans="1:11" x14ac:dyDescent="0.35">
      <c r="A19" t="s">
        <v>20</v>
      </c>
      <c r="B19">
        <v>336.7</v>
      </c>
      <c r="C19">
        <v>254.67</v>
      </c>
      <c r="D19">
        <f>Table1[[#This Row],[FY2025]]-Table1[[#This Row],[FY2024]]</f>
        <v>82.03</v>
      </c>
      <c r="E19" s="10">
        <f>Table1[[#This Row],[VARIANCE]]/Table1[[#This Row],[FY2024]]</f>
        <v>0.32210311383358858</v>
      </c>
    </row>
    <row r="20" spans="1:11" x14ac:dyDescent="0.35">
      <c r="A20" t="s">
        <v>21</v>
      </c>
      <c r="B20">
        <v>1158.1099999999999</v>
      </c>
      <c r="C20">
        <v>1651.35</v>
      </c>
      <c r="D20">
        <f>Table1[[#This Row],[FY2025]]-Table1[[#This Row],[FY2024]]</f>
        <v>-493.24</v>
      </c>
      <c r="E20" s="10">
        <f>Table1[[#This Row],[VARIANCE]]/Table1[[#This Row],[FY2024]]</f>
        <v>-0.29868895146395374</v>
      </c>
    </row>
    <row r="21" spans="1:11" x14ac:dyDescent="0.35">
      <c r="A21" t="s">
        <v>22</v>
      </c>
      <c r="B21">
        <v>773.71</v>
      </c>
      <c r="C21">
        <v>785.83</v>
      </c>
      <c r="D21">
        <f>Table1[[#This Row],[FY2025]]-Table1[[#This Row],[FY2024]]</f>
        <v>-12.120000000000005</v>
      </c>
      <c r="E21" s="10">
        <f>Table1[[#This Row],[VARIANCE]]/Table1[[#This Row],[FY2024]]</f>
        <v>-1.542318313121159E-2</v>
      </c>
    </row>
    <row r="22" spans="1:11" x14ac:dyDescent="0.35">
      <c r="A22" s="3" t="s">
        <v>23</v>
      </c>
      <c r="B22" s="3">
        <f>SUM(B15:B21)</f>
        <v>16991.68</v>
      </c>
      <c r="C22" s="3">
        <v>17537.060000000001</v>
      </c>
      <c r="D22">
        <f>Table1[[#This Row],[FY2025]]-Table1[[#This Row],[FY2024]]</f>
        <v>-545.38000000000102</v>
      </c>
      <c r="E22" s="10">
        <f>Table1[[#This Row],[VARIANCE]]/Table1[[#This Row],[FY2024]]</f>
        <v>-3.1098713239277334E-2</v>
      </c>
    </row>
    <row r="23" spans="1:11" x14ac:dyDescent="0.35">
      <c r="A23" s="2" t="s">
        <v>24</v>
      </c>
      <c r="B23" s="2">
        <f>B14+B22</f>
        <v>30371.370000000003</v>
      </c>
      <c r="C23" s="2">
        <f>C14+C22</f>
        <v>29924.09</v>
      </c>
      <c r="D23" s="9">
        <f>Table1[[#This Row],[FY2025]]-Table1[[#This Row],[FY2024]]</f>
        <v>447.28000000000247</v>
      </c>
      <c r="E23" s="14">
        <f>Table1[[#This Row],[VARIANCE]]/Table1[[#This Row],[FY2024]]</f>
        <v>1.4947154616899043E-2</v>
      </c>
    </row>
    <row r="24" spans="1:11" x14ac:dyDescent="0.35">
      <c r="A24" t="s">
        <v>25</v>
      </c>
      <c r="B24">
        <v>95.92</v>
      </c>
      <c r="C24">
        <v>95.92</v>
      </c>
      <c r="D24">
        <f>Table1[[#This Row],[FY2025]]-Table1[[#This Row],[FY2024]]</f>
        <v>0</v>
      </c>
      <c r="E24" s="10">
        <f>Table1[[#This Row],[VARIANCE]]/Table1[[#This Row],[FY2024]]</f>
        <v>0</v>
      </c>
    </row>
    <row r="25" spans="1:11" x14ac:dyDescent="0.35">
      <c r="A25" t="s">
        <v>26</v>
      </c>
      <c r="B25">
        <v>19303.89</v>
      </c>
      <c r="C25">
        <v>18632.38</v>
      </c>
      <c r="D25">
        <f>Table1[[#This Row],[FY2025]]-Table1[[#This Row],[FY2024]]</f>
        <v>671.5099999999984</v>
      </c>
      <c r="E25" s="10">
        <f>Table1[[#This Row],[VARIANCE]]/Table1[[#This Row],[FY2024]]</f>
        <v>3.6039947661007259E-2</v>
      </c>
    </row>
    <row r="26" spans="1:11" x14ac:dyDescent="0.35">
      <c r="A26" t="s">
        <v>79</v>
      </c>
      <c r="B26">
        <v>659.24</v>
      </c>
      <c r="C26">
        <v>695.38</v>
      </c>
      <c r="D26">
        <f>Table1[[#This Row],[FY2025]]-Table1[[#This Row],[FY2024]]</f>
        <v>-36.139999999999986</v>
      </c>
      <c r="E26" s="10">
        <f>Table1[[#This Row],[VARIANCE]]/Table1[[#This Row],[FY2024]]</f>
        <v>-5.1971583882193889E-2</v>
      </c>
    </row>
    <row r="27" spans="1:11" x14ac:dyDescent="0.35">
      <c r="A27" s="3" t="s">
        <v>27</v>
      </c>
      <c r="B27" s="3">
        <f>SUM(B24:B26)</f>
        <v>20059.05</v>
      </c>
      <c r="C27" s="3">
        <f>SUM(C24:C26)</f>
        <v>19423.68</v>
      </c>
      <c r="D27">
        <f>Table1[[#This Row],[FY2025]]-Table1[[#This Row],[FY2024]]</f>
        <v>635.36999999999898</v>
      </c>
      <c r="E27" s="10">
        <f>Table1[[#This Row],[VARIANCE]]/Table1[[#This Row],[FY2024]]</f>
        <v>3.2711103148321992E-2</v>
      </c>
    </row>
    <row r="28" spans="1:11" x14ac:dyDescent="0.35">
      <c r="A28" t="s">
        <v>28</v>
      </c>
      <c r="B28">
        <v>259.62</v>
      </c>
      <c r="C28">
        <v>54.38</v>
      </c>
      <c r="D28">
        <f>Table1[[#This Row],[FY2025]]-Table1[[#This Row],[FY2024]]</f>
        <v>205.24</v>
      </c>
      <c r="E28" s="10">
        <f>Table1[[#This Row],[VARIANCE]]/Table1[[#This Row],[FY2024]]</f>
        <v>3.77418168444281</v>
      </c>
      <c r="K28" s="7"/>
    </row>
    <row r="29" spans="1:11" x14ac:dyDescent="0.35">
      <c r="A29" t="s">
        <v>29</v>
      </c>
      <c r="B29">
        <v>1123.3</v>
      </c>
      <c r="C29">
        <v>1095.29</v>
      </c>
      <c r="D29">
        <f>Table1[[#This Row],[FY2025]]-Table1[[#This Row],[FY2024]]</f>
        <v>28.009999999999991</v>
      </c>
      <c r="E29" s="10">
        <f>Table1[[#This Row],[VARIANCE]]/Table1[[#This Row],[FY2024]]</f>
        <v>2.5573135881821245E-2</v>
      </c>
    </row>
    <row r="30" spans="1:11" x14ac:dyDescent="0.35">
      <c r="A30" t="s">
        <v>30</v>
      </c>
      <c r="B30">
        <v>79.930000000000007</v>
      </c>
      <c r="C30">
        <v>240.58</v>
      </c>
      <c r="D30">
        <f>Table1[[#This Row],[FY2025]]-Table1[[#This Row],[FY2024]]</f>
        <v>-160.65</v>
      </c>
      <c r="E30" s="10">
        <f>Table1[[#This Row],[VARIANCE]]/Table1[[#This Row],[FY2024]]</f>
        <v>-0.66776124366115219</v>
      </c>
    </row>
    <row r="31" spans="1:11" x14ac:dyDescent="0.35">
      <c r="A31" t="s">
        <v>31</v>
      </c>
      <c r="B31">
        <v>257.77999999999997</v>
      </c>
      <c r="C31">
        <v>222.56</v>
      </c>
      <c r="D31">
        <f>Table1[[#This Row],[FY2025]]-Table1[[#This Row],[FY2024]]</f>
        <v>35.21999999999997</v>
      </c>
      <c r="E31" s="10">
        <f>Table1[[#This Row],[VARIANCE]]/Table1[[#This Row],[FY2024]]</f>
        <v>0.15824946081955416</v>
      </c>
    </row>
    <row r="32" spans="1:11" x14ac:dyDescent="0.35">
      <c r="A32" t="s">
        <v>32</v>
      </c>
      <c r="B32">
        <v>404.91</v>
      </c>
      <c r="C32">
        <v>352.17</v>
      </c>
      <c r="D32">
        <f>Table1[[#This Row],[FY2025]]-Table1[[#This Row],[FY2024]]</f>
        <v>52.740000000000009</v>
      </c>
      <c r="E32" s="10">
        <f>Table1[[#This Row],[VARIANCE]]/Table1[[#This Row],[FY2024]]</f>
        <v>0.14975721952466139</v>
      </c>
    </row>
    <row r="33" spans="1:5" x14ac:dyDescent="0.35">
      <c r="A33" t="s">
        <v>33</v>
      </c>
      <c r="B33">
        <v>45.55</v>
      </c>
      <c r="C33">
        <v>34.47</v>
      </c>
      <c r="D33">
        <f>Table1[[#This Row],[FY2025]]-Table1[[#This Row],[FY2024]]</f>
        <v>11.079999999999998</v>
      </c>
      <c r="E33" s="10">
        <f>Table1[[#This Row],[VARIANCE]]/Table1[[#This Row],[FY2024]]</f>
        <v>0.32143893240498983</v>
      </c>
    </row>
    <row r="34" spans="1:5" x14ac:dyDescent="0.35">
      <c r="A34" s="3" t="s">
        <v>34</v>
      </c>
      <c r="B34" s="3">
        <f>SUM(B28:B33)</f>
        <v>2171.09</v>
      </c>
      <c r="C34" s="3">
        <f>SUM(C28:C33)</f>
        <v>1999.45</v>
      </c>
      <c r="D34">
        <f>Table1[[#This Row],[FY2025]]-Table1[[#This Row],[FY2024]]</f>
        <v>171.6400000000001</v>
      </c>
      <c r="E34" s="10">
        <f>Table1[[#This Row],[VARIANCE]]/Table1[[#This Row],[FY2024]]</f>
        <v>8.5843606991922825E-2</v>
      </c>
    </row>
    <row r="35" spans="1:5" x14ac:dyDescent="0.35">
      <c r="A35" t="s">
        <v>35</v>
      </c>
      <c r="B35">
        <v>604.13</v>
      </c>
      <c r="C35">
        <v>1052.76</v>
      </c>
      <c r="D35">
        <f>Table1[[#This Row],[FY2025]]-Table1[[#This Row],[FY2024]]</f>
        <v>-448.63</v>
      </c>
      <c r="E35" s="10">
        <f>Table1[[#This Row],[VARIANCE]]/Table1[[#This Row],[FY2024]]</f>
        <v>-0.42614651012576465</v>
      </c>
    </row>
    <row r="36" spans="1:5" x14ac:dyDescent="0.35">
      <c r="A36" t="s">
        <v>36</v>
      </c>
      <c r="B36">
        <v>303.24</v>
      </c>
      <c r="C36">
        <v>271.95</v>
      </c>
      <c r="D36">
        <f>Table1[[#This Row],[FY2025]]-Table1[[#This Row],[FY2024]]</f>
        <v>31.29000000000002</v>
      </c>
      <c r="E36" s="10">
        <f>Table1[[#This Row],[VARIANCE]]/Table1[[#This Row],[FY2024]]</f>
        <v>0.11505791505791514</v>
      </c>
    </row>
    <row r="37" spans="1:5" x14ac:dyDescent="0.35">
      <c r="A37" t="s">
        <v>37</v>
      </c>
      <c r="B37">
        <v>208.58</v>
      </c>
      <c r="C37">
        <v>250.27</v>
      </c>
      <c r="D37">
        <f>Table1[[#This Row],[FY2025]]-Table1[[#This Row],[FY2024]]</f>
        <v>-41.69</v>
      </c>
      <c r="E37" s="10">
        <f>Table1[[#This Row],[VARIANCE]]/Table1[[#This Row],[FY2024]]</f>
        <v>-0.16658009349902103</v>
      </c>
    </row>
    <row r="38" spans="1:5" x14ac:dyDescent="0.35">
      <c r="A38" t="s">
        <v>38</v>
      </c>
      <c r="B38">
        <v>3639.42</v>
      </c>
      <c r="C38">
        <v>3581.07</v>
      </c>
      <c r="D38">
        <f>Table1[[#This Row],[FY2025]]-Table1[[#This Row],[FY2024]]</f>
        <v>58.349999999999909</v>
      </c>
      <c r="E38" s="10">
        <f>Table1[[#This Row],[VARIANCE]]/Table1[[#This Row],[FY2024]]</f>
        <v>1.6294012683359976E-2</v>
      </c>
    </row>
    <row r="39" spans="1:5" x14ac:dyDescent="0.35">
      <c r="A39" t="s">
        <v>39</v>
      </c>
      <c r="B39">
        <v>2742.04</v>
      </c>
      <c r="C39">
        <v>2675.44</v>
      </c>
      <c r="D39">
        <f>Table1[[#This Row],[FY2025]]-Table1[[#This Row],[FY2024]]</f>
        <v>66.599999999999909</v>
      </c>
      <c r="E39" s="10">
        <f>Table1[[#This Row],[VARIANCE]]/Table1[[#This Row],[FY2024]]</f>
        <v>2.4893101695422026E-2</v>
      </c>
    </row>
    <row r="40" spans="1:5" x14ac:dyDescent="0.35">
      <c r="A40" t="s">
        <v>40</v>
      </c>
      <c r="B40">
        <v>450.58</v>
      </c>
      <c r="C40">
        <v>484.48</v>
      </c>
      <c r="D40">
        <f>Table1[[#This Row],[FY2025]]-Table1[[#This Row],[FY2024]]</f>
        <v>-33.900000000000034</v>
      </c>
      <c r="E40" s="10">
        <f>Table1[[#This Row],[VARIANCE]]/Table1[[#This Row],[FY2024]]</f>
        <v>-6.9971928665786068E-2</v>
      </c>
    </row>
    <row r="41" spans="1:5" x14ac:dyDescent="0.35">
      <c r="A41" t="s">
        <v>41</v>
      </c>
      <c r="B41">
        <v>67.150000000000006</v>
      </c>
      <c r="C41">
        <v>62.48</v>
      </c>
      <c r="D41">
        <f>Table1[[#This Row],[FY2025]]-Table1[[#This Row],[FY2024]]</f>
        <v>4.6700000000000088</v>
      </c>
      <c r="E41" s="10">
        <f>Table1[[#This Row],[VARIANCE]]/Table1[[#This Row],[FY2024]]</f>
        <v>7.474391805377735E-2</v>
      </c>
    </row>
    <row r="42" spans="1:5" x14ac:dyDescent="0.35">
      <c r="A42" t="s">
        <v>42</v>
      </c>
      <c r="B42">
        <v>126.09</v>
      </c>
      <c r="C42">
        <v>122.51</v>
      </c>
      <c r="D42">
        <f>Table1[[#This Row],[FY2025]]-Table1[[#This Row],[FY2024]]</f>
        <v>3.5799999999999983</v>
      </c>
      <c r="E42" s="10">
        <f>Table1[[#This Row],[VARIANCE]]/Table1[[#This Row],[FY2024]]</f>
        <v>2.9222104318014842E-2</v>
      </c>
    </row>
    <row r="43" spans="1:5" x14ac:dyDescent="0.35">
      <c r="A43" s="3" t="s">
        <v>43</v>
      </c>
      <c r="B43" s="3">
        <f>SUM(B35:B42)</f>
        <v>8141.23</v>
      </c>
      <c r="C43" s="3">
        <f>SUM(C35:C42)</f>
        <v>8500.9599999999991</v>
      </c>
      <c r="D43">
        <f>Table1[[#This Row],[FY2025]]-Table1[[#This Row],[FY2024]]</f>
        <v>-359.72999999999956</v>
      </c>
      <c r="E43" s="10">
        <f>Table1[[#This Row],[VARIANCE]]/Table1[[#This Row],[FY2024]]</f>
        <v>-4.2316397206903646E-2</v>
      </c>
    </row>
    <row r="44" spans="1:5" x14ac:dyDescent="0.35">
      <c r="A44" s="2" t="s">
        <v>44</v>
      </c>
      <c r="B44" s="2">
        <f>B34+B43+B27</f>
        <v>30371.37</v>
      </c>
      <c r="C44" s="2">
        <f>C34+C43+C27</f>
        <v>29924.09</v>
      </c>
      <c r="D44" s="9">
        <f>Table1[[#This Row],[FY2025]]-Table1[[#This Row],[FY2024]]</f>
        <v>447.27999999999884</v>
      </c>
      <c r="E44" s="14">
        <f>Table1[[#This Row],[VARIANCE]]/Table1[[#This Row],[FY2024]]</f>
        <v>1.4947154616898922E-2</v>
      </c>
    </row>
    <row r="46" spans="1:5" x14ac:dyDescent="0.35">
      <c r="A46" t="s">
        <v>76</v>
      </c>
      <c r="B46">
        <f>B23-B44</f>
        <v>0</v>
      </c>
      <c r="C46">
        <f>C23-C44</f>
        <v>0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opLeftCell="A15" workbookViewId="0">
      <selection sqref="A1:C27"/>
    </sheetView>
  </sheetViews>
  <sheetFormatPr defaultRowHeight="14.5" x14ac:dyDescent="0.35"/>
  <cols>
    <col min="1" max="1" width="30" style="5" customWidth="1"/>
    <col min="2" max="2" width="18" customWidth="1"/>
    <col min="3" max="3" width="17.7265625" customWidth="1"/>
    <col min="5" max="5" width="19.1796875" style="10" customWidth="1"/>
  </cols>
  <sheetData>
    <row r="1" spans="1:5" x14ac:dyDescent="0.35">
      <c r="A1" s="4" t="s">
        <v>0</v>
      </c>
      <c r="B1" s="1" t="s">
        <v>1</v>
      </c>
      <c r="C1" s="1" t="s">
        <v>2</v>
      </c>
      <c r="D1" s="13" t="s">
        <v>84</v>
      </c>
      <c r="E1" s="15" t="s">
        <v>85</v>
      </c>
    </row>
    <row r="2" spans="1:5" x14ac:dyDescent="0.35">
      <c r="A2" s="5" t="s">
        <v>45</v>
      </c>
      <c r="B2">
        <v>33626.82</v>
      </c>
      <c r="C2">
        <v>35248.879999999997</v>
      </c>
      <c r="D2">
        <f>Table2[[#This Row],[FY2025]]-Table2[[#This Row],[FY2024]]</f>
        <v>-1622.0599999999977</v>
      </c>
      <c r="E2" s="10">
        <f>Table2[[#This Row],[Variance]]/Table2[[#This Row],[FY2024]]</f>
        <v>-4.6017348636325402E-2</v>
      </c>
    </row>
    <row r="3" spans="1:5" x14ac:dyDescent="0.35">
      <c r="A3" s="5" t="s">
        <v>46</v>
      </c>
      <c r="B3">
        <v>170.54</v>
      </c>
      <c r="C3">
        <v>133.24</v>
      </c>
      <c r="D3">
        <f>Table2[[#This Row],[FY2025]]-Table2[[#This Row],[FY2024]]</f>
        <v>37.299999999999983</v>
      </c>
      <c r="E3" s="10">
        <f>Table2[[#This Row],[Variance]]/Table2[[#This Row],[FY2024]]</f>
        <v>0.2799459621735213</v>
      </c>
    </row>
    <row r="4" spans="1:5" x14ac:dyDescent="0.35">
      <c r="A4" s="5" t="s">
        <v>47</v>
      </c>
      <c r="B4">
        <v>108.26</v>
      </c>
      <c r="C4">
        <v>112.61</v>
      </c>
      <c r="D4">
        <f>Table2[[#This Row],[FY2025]]-Table2[[#This Row],[FY2024]]</f>
        <v>-4.3499999999999943</v>
      </c>
      <c r="E4" s="10">
        <f>Table2[[#This Row],[Variance]]/Table2[[#This Row],[FY2024]]</f>
        <v>-3.8628896190391566E-2</v>
      </c>
    </row>
    <row r="5" spans="1:5" x14ac:dyDescent="0.35">
      <c r="A5" s="5" t="s">
        <v>48</v>
      </c>
      <c r="B5">
        <v>572.61</v>
      </c>
      <c r="C5">
        <v>687.96</v>
      </c>
      <c r="D5">
        <f>Table2[[#This Row],[FY2025]]-Table2[[#This Row],[FY2024]]</f>
        <v>-115.35000000000002</v>
      </c>
      <c r="E5" s="10">
        <f>Table2[[#This Row],[Variance]]/Table2[[#This Row],[FY2024]]</f>
        <v>-0.16766963195534626</v>
      </c>
    </row>
    <row r="6" spans="1:5" x14ac:dyDescent="0.35">
      <c r="A6" s="8" t="s">
        <v>49</v>
      </c>
      <c r="B6" s="9">
        <v>34478.230000000003</v>
      </c>
      <c r="C6" s="9">
        <v>36182.69</v>
      </c>
      <c r="D6" s="9">
        <f>Table2[[#This Row],[FY2025]]-Table2[[#This Row],[FY2024]]</f>
        <v>-1704.4599999999991</v>
      </c>
      <c r="E6" s="14">
        <f>Table2[[#This Row],[Variance]]/Table2[[#This Row],[FY2024]]</f>
        <v>-4.7107055887773933E-2</v>
      </c>
    </row>
    <row r="7" spans="1:5" x14ac:dyDescent="0.35">
      <c r="A7" s="5" t="s">
        <v>50</v>
      </c>
      <c r="B7">
        <v>15793.92</v>
      </c>
      <c r="C7">
        <v>15868.21</v>
      </c>
      <c r="D7">
        <f>Table2[[#This Row],[FY2025]]-Table2[[#This Row],[FY2024]]</f>
        <v>-74.289999999999054</v>
      </c>
      <c r="E7" s="10">
        <f>Table2[[#This Row],[Variance]]/Table2[[#This Row],[FY2024]]</f>
        <v>-4.6816874745166E-3</v>
      </c>
    </row>
    <row r="8" spans="1:5" x14ac:dyDescent="0.35">
      <c r="A8" s="5" t="s">
        <v>51</v>
      </c>
      <c r="B8">
        <v>3926.86</v>
      </c>
      <c r="C8">
        <v>3858.2</v>
      </c>
      <c r="D8">
        <f>Table2[[#This Row],[FY2025]]-Table2[[#This Row],[FY2024]]</f>
        <v>68.660000000000309</v>
      </c>
      <c r="E8" s="10">
        <f>Table2[[#This Row],[Variance]]/Table2[[#This Row],[FY2024]]</f>
        <v>1.7795863355969187E-2</v>
      </c>
    </row>
    <row r="9" spans="1:5" x14ac:dyDescent="0.35">
      <c r="A9" s="5" t="s">
        <v>52</v>
      </c>
      <c r="B9">
        <v>-205</v>
      </c>
      <c r="C9">
        <v>363.8</v>
      </c>
      <c r="D9">
        <f>Table2[[#This Row],[FY2025]]-Table2[[#This Row],[FY2024]]</f>
        <v>-568.79999999999995</v>
      </c>
      <c r="E9" s="10">
        <f>Table2[[#This Row],[Variance]]/Table2[[#This Row],[FY2024]]</f>
        <v>-1.5634964266080262</v>
      </c>
    </row>
    <row r="10" spans="1:5" x14ac:dyDescent="0.35">
      <c r="A10" s="5" t="s">
        <v>53</v>
      </c>
      <c r="B10">
        <v>2597.23</v>
      </c>
      <c r="C10">
        <v>2326.1799999999998</v>
      </c>
      <c r="D10">
        <f>Table2[[#This Row],[FY2025]]-Table2[[#This Row],[FY2024]]</f>
        <v>271.05000000000018</v>
      </c>
      <c r="E10" s="10">
        <f>Table2[[#This Row],[Variance]]/Table2[[#This Row],[FY2024]]</f>
        <v>0.11652150736400459</v>
      </c>
    </row>
    <row r="11" spans="1:5" x14ac:dyDescent="0.35">
      <c r="A11" s="5" t="s">
        <v>54</v>
      </c>
      <c r="B11">
        <v>5786.4</v>
      </c>
      <c r="C11">
        <v>5493.36</v>
      </c>
      <c r="D11">
        <f>Table2[[#This Row],[FY2025]]-Table2[[#This Row],[FY2024]]</f>
        <v>293.03999999999996</v>
      </c>
      <c r="E11" s="10">
        <f>Table2[[#This Row],[Variance]]/Table2[[#This Row],[FY2024]]</f>
        <v>5.3344401240770674E-2</v>
      </c>
    </row>
    <row r="12" spans="1:5" x14ac:dyDescent="0.35">
      <c r="A12" s="6" t="s">
        <v>55</v>
      </c>
      <c r="B12" s="3">
        <v>27899.41</v>
      </c>
      <c r="C12" s="3">
        <v>27909.75</v>
      </c>
      <c r="D12">
        <f>Table2[[#This Row],[FY2025]]-Table2[[#This Row],[FY2024]]</f>
        <v>-10.340000000000146</v>
      </c>
      <c r="E12" s="10">
        <f>Table2[[#This Row],[Variance]]/Table2[[#This Row],[FY2024]]</f>
        <v>-3.7047985023155514E-4</v>
      </c>
    </row>
    <row r="13" spans="1:5" x14ac:dyDescent="0.35">
      <c r="A13" s="8" t="s">
        <v>56</v>
      </c>
      <c r="B13" s="9">
        <f>B6-B12</f>
        <v>6578.8200000000033</v>
      </c>
      <c r="C13" s="9">
        <f>C6-C12</f>
        <v>8272.9400000000023</v>
      </c>
      <c r="D13" s="9">
        <f>Table2[[#This Row],[FY2025]]-Table2[[#This Row],[FY2024]]</f>
        <v>-1694.119999999999</v>
      </c>
      <c r="E13" s="14">
        <f>Table2[[#This Row],[Variance]]/Table2[[#This Row],[FY2024]]</f>
        <v>-0.2047784705316367</v>
      </c>
    </row>
    <row r="14" spans="1:5" x14ac:dyDescent="0.35">
      <c r="A14" s="5" t="s">
        <v>57</v>
      </c>
      <c r="B14">
        <v>227.02</v>
      </c>
      <c r="C14">
        <v>205.17</v>
      </c>
      <c r="D14">
        <f>Table2[[#This Row],[FY2025]]-Table2[[#This Row],[FY2024]]</f>
        <v>21.850000000000023</v>
      </c>
      <c r="E14" s="10">
        <f>Table2[[#This Row],[Variance]]/Table2[[#This Row],[FY2024]]</f>
        <v>0.10649705122581286</v>
      </c>
    </row>
    <row r="15" spans="1:5" x14ac:dyDescent="0.35">
      <c r="A15" s="5" t="s">
        <v>58</v>
      </c>
      <c r="B15">
        <v>1026.3399999999999</v>
      </c>
      <c r="C15">
        <v>853</v>
      </c>
      <c r="D15">
        <f>Table2[[#This Row],[FY2025]]-Table2[[#This Row],[FY2024]]</f>
        <v>173.33999999999992</v>
      </c>
      <c r="E15" s="10">
        <f>Table2[[#This Row],[Variance]]/Table2[[#This Row],[FY2024]]</f>
        <v>0.20321219226260248</v>
      </c>
    </row>
    <row r="16" spans="1:5" ht="29" x14ac:dyDescent="0.35">
      <c r="A16" s="5" t="s">
        <v>59</v>
      </c>
      <c r="B16">
        <f>B13-B14-B15</f>
        <v>5325.4600000000028</v>
      </c>
      <c r="C16">
        <v>7347.77</v>
      </c>
      <c r="D16">
        <f>Table2[[#This Row],[FY2025]]-Table2[[#This Row],[FY2024]]</f>
        <v>-2022.3099999999977</v>
      </c>
      <c r="E16" s="10">
        <f>Table2[[#This Row],[Variance]]/Table2[[#This Row],[FY2024]]</f>
        <v>-0.27522772215243502</v>
      </c>
    </row>
    <row r="17" spans="1:5" x14ac:dyDescent="0.35">
      <c r="A17" s="5" t="s">
        <v>77</v>
      </c>
      <c r="B17">
        <v>140.71</v>
      </c>
      <c r="C17">
        <v>133</v>
      </c>
      <c r="D17">
        <f>Table2[[#This Row],[FY2025]]-Table2[[#This Row],[FY2024]]</f>
        <v>7.710000000000008</v>
      </c>
      <c r="E17" s="10">
        <f>Table2[[#This Row],[Variance]]/Table2[[#This Row],[FY2024]]</f>
        <v>5.7969924812030137E-2</v>
      </c>
    </row>
    <row r="18" spans="1:5" ht="29" x14ac:dyDescent="0.35">
      <c r="A18" s="5" t="s">
        <v>78</v>
      </c>
      <c r="B18">
        <f>B16+B17</f>
        <v>5466.1700000000028</v>
      </c>
      <c r="C18">
        <f>C16+C17</f>
        <v>7480.77</v>
      </c>
      <c r="D18">
        <f>Table2[[#This Row],[FY2025]]-Table2[[#This Row],[FY2024]]</f>
        <v>-2014.5999999999976</v>
      </c>
      <c r="E18" s="10">
        <f>Table2[[#This Row],[Variance]]/Table2[[#This Row],[FY2024]]</f>
        <v>-0.2693038283492204</v>
      </c>
    </row>
    <row r="19" spans="1:5" x14ac:dyDescent="0.35">
      <c r="A19" s="5" t="s">
        <v>60</v>
      </c>
      <c r="B19">
        <v>363.1</v>
      </c>
      <c r="C19">
        <v>0</v>
      </c>
      <c r="D19">
        <f>Table2[[#This Row],[FY2025]]-Table2[[#This Row],[FY2024]]</f>
        <v>363.1</v>
      </c>
      <c r="E19" s="10" t="e">
        <f>Table2[[#This Row],[Variance]]/Table2[[#This Row],[FY2024]]</f>
        <v>#DIV/0!</v>
      </c>
    </row>
    <row r="20" spans="1:5" x14ac:dyDescent="0.35">
      <c r="A20" s="8" t="s">
        <v>61</v>
      </c>
      <c r="B20" s="9">
        <f>B18-B19</f>
        <v>5103.0700000000024</v>
      </c>
      <c r="C20" s="9">
        <f>C18-C19</f>
        <v>7480.77</v>
      </c>
      <c r="D20" s="9">
        <f>Table2[[#This Row],[FY2025]]-Table2[[#This Row],[FY2024]]</f>
        <v>-2377.699999999998</v>
      </c>
      <c r="E20" s="14">
        <f>Table2[[#This Row],[Variance]]/Table2[[#This Row],[FY2024]]</f>
        <v>-0.31784161256127347</v>
      </c>
    </row>
    <row r="21" spans="1:5" x14ac:dyDescent="0.35">
      <c r="A21" s="5" t="s">
        <v>62</v>
      </c>
      <c r="B21">
        <v>1388.98</v>
      </c>
      <c r="C21">
        <v>1836</v>
      </c>
      <c r="D21">
        <f>Table2[[#This Row],[FY2025]]-Table2[[#This Row],[FY2024]]</f>
        <v>-447.02</v>
      </c>
      <c r="E21" s="10">
        <f>Table2[[#This Row],[Variance]]/Table2[[#This Row],[FY2024]]</f>
        <v>-0.24347494553376905</v>
      </c>
    </row>
    <row r="22" spans="1:5" x14ac:dyDescent="0.35">
      <c r="A22" s="5" t="s">
        <v>63</v>
      </c>
      <c r="B22">
        <v>-13.39</v>
      </c>
      <c r="C22">
        <v>-51.35</v>
      </c>
      <c r="D22">
        <f>Table2[[#This Row],[FY2025]]-Table2[[#This Row],[FY2024]]</f>
        <v>37.96</v>
      </c>
      <c r="E22" s="10">
        <f>Table2[[#This Row],[Variance]]/Table2[[#This Row],[FY2024]]</f>
        <v>-0.73924050632911387</v>
      </c>
    </row>
    <row r="23" spans="1:5" x14ac:dyDescent="0.35">
      <c r="A23" s="5" t="s">
        <v>64</v>
      </c>
      <c r="B23">
        <v>17.77</v>
      </c>
      <c r="C23">
        <v>5.43</v>
      </c>
      <c r="D23">
        <f>Table2[[#This Row],[FY2025]]-Table2[[#This Row],[FY2024]]</f>
        <v>12.34</v>
      </c>
      <c r="E23" s="10">
        <f>Table2[[#This Row],[Variance]]/Table2[[#This Row],[FY2024]]</f>
        <v>2.2725598526703501</v>
      </c>
    </row>
    <row r="24" spans="1:5" x14ac:dyDescent="0.35">
      <c r="A24" s="5" t="s">
        <v>65</v>
      </c>
      <c r="B24">
        <f>SUM(B21:B23)</f>
        <v>1393.36</v>
      </c>
      <c r="C24">
        <f>SUM(C21:C23)</f>
        <v>1790.0800000000002</v>
      </c>
      <c r="D24">
        <f>Table2[[#This Row],[FY2025]]-Table2[[#This Row],[FY2024]]</f>
        <v>-396.72000000000025</v>
      </c>
      <c r="E24" s="10">
        <f>Table2[[#This Row],[Variance]]/Table2[[#This Row],[FY2024]]</f>
        <v>-0.22162138005005375</v>
      </c>
    </row>
    <row r="25" spans="1:5" x14ac:dyDescent="0.35">
      <c r="A25" s="8" t="s">
        <v>66</v>
      </c>
      <c r="B25" s="9">
        <f>B20-B24</f>
        <v>3709.7100000000028</v>
      </c>
      <c r="C25" s="9">
        <f>C20-C24</f>
        <v>5690.6900000000005</v>
      </c>
      <c r="D25" s="9">
        <f>Table2[[#This Row],[FY2025]]-Table2[[#This Row],[FY2024]]</f>
        <v>-1980.9799999999977</v>
      </c>
      <c r="E25" s="14">
        <f>Table2[[#This Row],[Variance]]/Table2[[#This Row],[FY2024]]</f>
        <v>-0.34810892879422312</v>
      </c>
    </row>
    <row r="26" spans="1:5" x14ac:dyDescent="0.35">
      <c r="A26" s="5" t="s">
        <v>80</v>
      </c>
      <c r="B26">
        <v>114.56</v>
      </c>
      <c r="C26">
        <v>31.96</v>
      </c>
      <c r="D26">
        <f>Table2[[#This Row],[FY2025]]-Table2[[#This Row],[FY2024]]</f>
        <v>82.6</v>
      </c>
      <c r="E26" s="10">
        <f>Table2[[#This Row],[Variance]]/Table2[[#This Row],[FY2024]]</f>
        <v>2.5844806007509384</v>
      </c>
    </row>
    <row r="27" spans="1:5" x14ac:dyDescent="0.35">
      <c r="A27" s="8" t="s">
        <v>81</v>
      </c>
      <c r="B27" s="9">
        <f>B25+B26</f>
        <v>3824.2700000000027</v>
      </c>
      <c r="C27" s="9">
        <f>C25+C26</f>
        <v>5722.6500000000005</v>
      </c>
      <c r="D27" s="9">
        <f>Table2[[#This Row],[FY2025]]-Table2[[#This Row],[FY2024]]</f>
        <v>-1898.3799999999978</v>
      </c>
      <c r="E27" s="14">
        <f>Table2[[#This Row],[Variance]]/Table2[[#This Row],[FY2024]]</f>
        <v>-0.33173092885289118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49B0-0DB8-4752-BD5E-0727DE9012CB}">
  <dimension ref="B1:K3"/>
  <sheetViews>
    <sheetView topLeftCell="C1" workbookViewId="0">
      <selection activeCell="F12" sqref="F12"/>
    </sheetView>
  </sheetViews>
  <sheetFormatPr defaultRowHeight="14.5" x14ac:dyDescent="0.35"/>
  <cols>
    <col min="2" max="2" width="23.6328125" style="5" customWidth="1"/>
    <col min="3" max="3" width="12.08984375" bestFit="1" customWidth="1"/>
    <col min="4" max="4" width="15.1796875" bestFit="1" customWidth="1"/>
    <col min="5" max="5" width="13.36328125" bestFit="1" customWidth="1"/>
    <col min="6" max="6" width="11.90625" bestFit="1" customWidth="1"/>
    <col min="7" max="7" width="11.81640625" bestFit="1" customWidth="1"/>
    <col min="8" max="8" width="12.6328125" bestFit="1" customWidth="1"/>
    <col min="9" max="10" width="11.81640625" bestFit="1" customWidth="1"/>
    <col min="11" max="11" width="13.453125" bestFit="1" customWidth="1"/>
  </cols>
  <sheetData>
    <row r="1" spans="3:11" x14ac:dyDescent="0.35"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</row>
    <row r="2" spans="3:11" x14ac:dyDescent="0.35">
      <c r="C2" t="s">
        <v>86</v>
      </c>
      <c r="D2">
        <v>15.7276587229971</v>
      </c>
      <c r="E2">
        <v>22.8643586201026</v>
      </c>
      <c r="F2">
        <v>2.0629505373510759</v>
      </c>
      <c r="G2">
        <v>1.3661574692740588</v>
      </c>
      <c r="H2">
        <v>5.6999497520552236E-2</v>
      </c>
      <c r="I2">
        <v>19.017086233867097</v>
      </c>
      <c r="J2">
        <v>29.29769230135587</v>
      </c>
      <c r="K2">
        <v>1.209149217236013</v>
      </c>
    </row>
    <row r="3" spans="3:11" x14ac:dyDescent="0.35">
      <c r="C3" t="s">
        <v>87</v>
      </c>
      <c r="D3">
        <v>10.759572054597937</v>
      </c>
      <c r="E3">
        <v>19.081083918751059</v>
      </c>
      <c r="F3">
        <v>2.0871146006193171</v>
      </c>
      <c r="G3">
        <v>1.2617761689572706</v>
      </c>
      <c r="H3">
        <v>4.3060364274479603E-2</v>
      </c>
      <c r="I3">
        <v>12.214496744796175</v>
      </c>
      <c r="J3">
        <v>18.493946622596795</v>
      </c>
      <c r="K3">
        <v>1.1352214272849728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62EB-C5B0-4F8B-825F-A7DE9E848404}">
  <dimension ref="A1:AR4"/>
  <sheetViews>
    <sheetView topLeftCell="AD1" workbookViewId="0">
      <selection activeCell="C8" sqref="C8"/>
    </sheetView>
  </sheetViews>
  <sheetFormatPr defaultRowHeight="14.5" x14ac:dyDescent="0.35"/>
  <sheetData>
    <row r="1" spans="1:44" ht="15" thickBot="1" x14ac:dyDescent="0.4">
      <c r="A1" s="20" t="s">
        <v>88</v>
      </c>
      <c r="B1" s="16" t="s">
        <v>3</v>
      </c>
      <c r="C1" s="18" t="s">
        <v>4</v>
      </c>
      <c r="D1" s="16" t="s">
        <v>5</v>
      </c>
      <c r="E1" s="18" t="s">
        <v>6</v>
      </c>
      <c r="F1" s="16" t="s">
        <v>7</v>
      </c>
      <c r="G1" s="18" t="s">
        <v>8</v>
      </c>
      <c r="H1" s="16" t="s">
        <v>9</v>
      </c>
      <c r="I1" s="18" t="s">
        <v>10</v>
      </c>
      <c r="J1" s="16" t="s">
        <v>11</v>
      </c>
      <c r="K1" s="18" t="s">
        <v>12</v>
      </c>
      <c r="L1" s="16" t="s">
        <v>13</v>
      </c>
      <c r="M1" s="18" t="s">
        <v>14</v>
      </c>
      <c r="N1" s="22" t="s">
        <v>15</v>
      </c>
      <c r="O1" s="18" t="s">
        <v>16</v>
      </c>
      <c r="P1" s="16" t="s">
        <v>17</v>
      </c>
      <c r="Q1" s="18" t="s">
        <v>18</v>
      </c>
      <c r="R1" s="16" t="s">
        <v>19</v>
      </c>
      <c r="S1" s="18" t="s">
        <v>20</v>
      </c>
      <c r="T1" s="16" t="s">
        <v>21</v>
      </c>
      <c r="U1" s="18" t="s">
        <v>22</v>
      </c>
      <c r="V1" s="22" t="s">
        <v>23</v>
      </c>
      <c r="W1" s="24" t="s">
        <v>24</v>
      </c>
      <c r="X1" s="16" t="s">
        <v>25</v>
      </c>
      <c r="Y1" s="18" t="s">
        <v>26</v>
      </c>
      <c r="Z1" s="16" t="s">
        <v>79</v>
      </c>
      <c r="AA1" s="26" t="s">
        <v>27</v>
      </c>
      <c r="AB1" s="16" t="s">
        <v>28</v>
      </c>
      <c r="AC1" s="18" t="s">
        <v>29</v>
      </c>
      <c r="AD1" s="16" t="s">
        <v>30</v>
      </c>
      <c r="AE1" s="18" t="s">
        <v>31</v>
      </c>
      <c r="AF1" s="16" t="s">
        <v>32</v>
      </c>
      <c r="AG1" s="18" t="s">
        <v>33</v>
      </c>
      <c r="AH1" s="22" t="s">
        <v>34</v>
      </c>
      <c r="AI1" s="18" t="s">
        <v>35</v>
      </c>
      <c r="AJ1" s="16" t="s">
        <v>36</v>
      </c>
      <c r="AK1" s="18" t="s">
        <v>37</v>
      </c>
      <c r="AL1" s="16" t="s">
        <v>38</v>
      </c>
      <c r="AM1" s="18" t="s">
        <v>39</v>
      </c>
      <c r="AN1" s="16" t="s">
        <v>40</v>
      </c>
      <c r="AO1" s="18" t="s">
        <v>41</v>
      </c>
      <c r="AP1" s="16" t="s">
        <v>42</v>
      </c>
      <c r="AQ1" s="26" t="s">
        <v>43</v>
      </c>
      <c r="AR1" s="28" t="s">
        <v>44</v>
      </c>
    </row>
    <row r="2" spans="1:44" ht="15.5" thickTop="1" thickBot="1" x14ac:dyDescent="0.4">
      <c r="A2" s="21" t="s">
        <v>1</v>
      </c>
      <c r="B2" s="17">
        <v>6787.62</v>
      </c>
      <c r="C2" s="19">
        <v>1843.72</v>
      </c>
      <c r="D2" s="17">
        <v>1254.49</v>
      </c>
      <c r="E2" s="19">
        <v>219.58</v>
      </c>
      <c r="F2" s="17">
        <v>369.18</v>
      </c>
      <c r="G2" s="19">
        <v>608</v>
      </c>
      <c r="H2" s="17">
        <v>871.79</v>
      </c>
      <c r="I2" s="19">
        <v>8.7100000000000009</v>
      </c>
      <c r="J2" s="17">
        <v>877.84</v>
      </c>
      <c r="K2" s="19">
        <v>16.12</v>
      </c>
      <c r="L2" s="17">
        <v>221.62</v>
      </c>
      <c r="M2" s="19">
        <v>301.02</v>
      </c>
      <c r="N2" s="23">
        <f>SUM(B2:M2)</f>
        <v>13379.690000000002</v>
      </c>
      <c r="O2" s="19">
        <v>6719.27</v>
      </c>
      <c r="P2" s="17">
        <v>3244.96</v>
      </c>
      <c r="Q2" s="19">
        <v>4313.6499999999996</v>
      </c>
      <c r="R2" s="17">
        <v>445.28</v>
      </c>
      <c r="S2" s="19">
        <v>336.7</v>
      </c>
      <c r="T2" s="17">
        <v>1158.1099999999999</v>
      </c>
      <c r="U2" s="19">
        <v>773.71</v>
      </c>
      <c r="V2" s="23">
        <f>SUM(O2:U2)</f>
        <v>16991.68</v>
      </c>
      <c r="W2" s="25">
        <f>N2+V2</f>
        <v>30371.370000000003</v>
      </c>
      <c r="X2" s="17">
        <v>95.92</v>
      </c>
      <c r="Y2" s="19">
        <v>19303.89</v>
      </c>
      <c r="Z2" s="17">
        <v>659.24</v>
      </c>
      <c r="AA2" s="27">
        <f>SUM(X2:Z2)</f>
        <v>20059.05</v>
      </c>
      <c r="AB2" s="17">
        <v>259.62</v>
      </c>
      <c r="AC2" s="19">
        <v>1123.3</v>
      </c>
      <c r="AD2" s="17">
        <v>79.930000000000007</v>
      </c>
      <c r="AE2" s="19">
        <v>257.77999999999997</v>
      </c>
      <c r="AF2" s="17">
        <v>404.91</v>
      </c>
      <c r="AG2" s="19">
        <v>45.55</v>
      </c>
      <c r="AH2" s="23">
        <f>SUM(AB2:AG2)</f>
        <v>2171.09</v>
      </c>
      <c r="AI2" s="19">
        <v>604.13</v>
      </c>
      <c r="AJ2" s="17">
        <v>303.24</v>
      </c>
      <c r="AK2" s="19">
        <v>208.58</v>
      </c>
      <c r="AL2" s="17">
        <v>3639.42</v>
      </c>
      <c r="AM2" s="19">
        <v>2742.04</v>
      </c>
      <c r="AN2" s="17">
        <v>450.58</v>
      </c>
      <c r="AO2" s="19">
        <v>67.150000000000006</v>
      </c>
      <c r="AP2" s="17">
        <v>126.09</v>
      </c>
      <c r="AQ2" s="27">
        <f>SUM(AI2:AP2)</f>
        <v>8141.23</v>
      </c>
      <c r="AR2" s="29">
        <f>AH2+AQ2+AA2</f>
        <v>30371.37</v>
      </c>
    </row>
    <row r="3" spans="1:44" ht="15.5" thickTop="1" thickBot="1" x14ac:dyDescent="0.4">
      <c r="A3" s="21" t="s">
        <v>2</v>
      </c>
      <c r="B3" s="17">
        <v>4446.2</v>
      </c>
      <c r="C3" s="19">
        <v>1856.27</v>
      </c>
      <c r="D3" s="17">
        <v>2698.37</v>
      </c>
      <c r="E3" s="19">
        <v>419.19</v>
      </c>
      <c r="F3" s="17">
        <v>424.96</v>
      </c>
      <c r="G3" s="19">
        <v>583.13</v>
      </c>
      <c r="H3" s="17">
        <v>801.38</v>
      </c>
      <c r="I3" s="19">
        <v>1.78</v>
      </c>
      <c r="J3" s="17">
        <v>606.51</v>
      </c>
      <c r="K3" s="19">
        <v>23.32</v>
      </c>
      <c r="L3" s="17">
        <v>198.11</v>
      </c>
      <c r="M3" s="19">
        <v>327.81</v>
      </c>
      <c r="N3" s="23">
        <f>SUM(B3:M3)</f>
        <v>12387.029999999999</v>
      </c>
      <c r="O3" s="19">
        <v>5923.41</v>
      </c>
      <c r="P3" s="17">
        <v>3203.41</v>
      </c>
      <c r="Q3" s="19">
        <v>4889.05</v>
      </c>
      <c r="R3" s="17">
        <v>829.34</v>
      </c>
      <c r="S3" s="19">
        <v>254.67</v>
      </c>
      <c r="T3" s="17">
        <v>1651.35</v>
      </c>
      <c r="U3" s="19">
        <v>785.83</v>
      </c>
      <c r="V3" s="23">
        <v>17537.060000000001</v>
      </c>
      <c r="W3" s="25">
        <f>N3+V3</f>
        <v>29924.09</v>
      </c>
      <c r="X3" s="17">
        <v>95.92</v>
      </c>
      <c r="Y3" s="19">
        <v>18632.38</v>
      </c>
      <c r="Z3" s="17">
        <v>695.38</v>
      </c>
      <c r="AA3" s="27">
        <f>SUM(X3:Z3)</f>
        <v>19423.68</v>
      </c>
      <c r="AB3" s="17">
        <v>54.38</v>
      </c>
      <c r="AC3" s="19">
        <v>1095.29</v>
      </c>
      <c r="AD3" s="17">
        <v>240.58</v>
      </c>
      <c r="AE3" s="19">
        <v>222.56</v>
      </c>
      <c r="AF3" s="17">
        <v>352.17</v>
      </c>
      <c r="AG3" s="19">
        <v>34.47</v>
      </c>
      <c r="AH3" s="23">
        <f>SUM(AB3:AG3)</f>
        <v>1999.45</v>
      </c>
      <c r="AI3" s="19">
        <v>1052.76</v>
      </c>
      <c r="AJ3" s="17">
        <v>271.95</v>
      </c>
      <c r="AK3" s="19">
        <v>250.27</v>
      </c>
      <c r="AL3" s="17">
        <v>3581.07</v>
      </c>
      <c r="AM3" s="19">
        <v>2675.44</v>
      </c>
      <c r="AN3" s="17">
        <v>484.48</v>
      </c>
      <c r="AO3" s="19">
        <v>62.48</v>
      </c>
      <c r="AP3" s="17">
        <v>122.51</v>
      </c>
      <c r="AQ3" s="27">
        <f>SUM(AI3:AP3)</f>
        <v>8500.9599999999991</v>
      </c>
      <c r="AR3" s="29">
        <f>AH3+AQ3+AA3</f>
        <v>29924.09</v>
      </c>
    </row>
    <row r="4" spans="1:44" ht="15" thickTop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1DF0-B86E-411C-9669-10413F4ED16E}">
  <dimension ref="A1:AA4"/>
  <sheetViews>
    <sheetView topLeftCell="K1" workbookViewId="0">
      <selection activeCell="X1" activeCellId="5" sqref="A1:A3 F1:F3 L1:L3 Y1:Y3 N1:N3 X1:X3"/>
    </sheetView>
  </sheetViews>
  <sheetFormatPr defaultRowHeight="14.5" x14ac:dyDescent="0.35"/>
  <sheetData>
    <row r="1" spans="1:27" ht="73" thickBot="1" x14ac:dyDescent="0.4">
      <c r="A1" s="30" t="s">
        <v>88</v>
      </c>
      <c r="B1" s="31" t="s">
        <v>45</v>
      </c>
      <c r="C1" s="32" t="s">
        <v>46</v>
      </c>
      <c r="D1" s="31" t="s">
        <v>47</v>
      </c>
      <c r="E1" s="32" t="s">
        <v>48</v>
      </c>
      <c r="F1" s="33" t="s">
        <v>49</v>
      </c>
      <c r="G1" s="32" t="s">
        <v>50</v>
      </c>
      <c r="H1" s="31" t="s">
        <v>51</v>
      </c>
      <c r="I1" s="32" t="s">
        <v>52</v>
      </c>
      <c r="J1" s="31" t="s">
        <v>53</v>
      </c>
      <c r="K1" s="32" t="s">
        <v>54</v>
      </c>
      <c r="L1" s="35" t="s">
        <v>55</v>
      </c>
      <c r="M1" s="33" t="s">
        <v>56</v>
      </c>
      <c r="N1" s="31" t="s">
        <v>57</v>
      </c>
      <c r="O1" s="32" t="s">
        <v>58</v>
      </c>
      <c r="P1" s="31" t="s">
        <v>59</v>
      </c>
      <c r="Q1" s="32" t="s">
        <v>77</v>
      </c>
      <c r="R1" s="31" t="s">
        <v>78</v>
      </c>
      <c r="S1" s="32" t="s">
        <v>60</v>
      </c>
      <c r="T1" s="33" t="s">
        <v>61</v>
      </c>
      <c r="U1" s="32" t="s">
        <v>62</v>
      </c>
      <c r="V1" s="31" t="s">
        <v>63</v>
      </c>
      <c r="W1" s="32" t="s">
        <v>64</v>
      </c>
      <c r="X1" s="31" t="s">
        <v>65</v>
      </c>
      <c r="Y1" s="33" t="s">
        <v>66</v>
      </c>
      <c r="Z1" s="31" t="s">
        <v>80</v>
      </c>
      <c r="AA1" s="36" t="s">
        <v>81</v>
      </c>
    </row>
    <row r="2" spans="1:27" ht="15.5" thickTop="1" thickBot="1" x14ac:dyDescent="0.4">
      <c r="A2" s="21" t="s">
        <v>1</v>
      </c>
      <c r="B2" s="17">
        <v>33626.82</v>
      </c>
      <c r="C2" s="19">
        <v>170.54</v>
      </c>
      <c r="D2" s="17">
        <v>108.26</v>
      </c>
      <c r="E2" s="19">
        <v>572.61</v>
      </c>
      <c r="F2" s="34">
        <v>34478.230000000003</v>
      </c>
      <c r="G2" s="19">
        <v>15793.92</v>
      </c>
      <c r="H2" s="17">
        <v>3926.86</v>
      </c>
      <c r="I2" s="19">
        <v>-205</v>
      </c>
      <c r="J2" s="17">
        <v>2597.23</v>
      </c>
      <c r="K2" s="19">
        <v>5786.4</v>
      </c>
      <c r="L2" s="23">
        <v>27899.41</v>
      </c>
      <c r="M2" s="34">
        <f>F2-L2</f>
        <v>6578.8200000000033</v>
      </c>
      <c r="N2" s="17">
        <v>227.02</v>
      </c>
      <c r="O2" s="19">
        <v>1026.3399999999999</v>
      </c>
      <c r="P2" s="17">
        <f>M2-N2-O2</f>
        <v>5325.4600000000028</v>
      </c>
      <c r="Q2" s="19">
        <v>140.71</v>
      </c>
      <c r="R2" s="17">
        <f>P2+Q2</f>
        <v>5466.1700000000028</v>
      </c>
      <c r="S2" s="19">
        <v>363.1</v>
      </c>
      <c r="T2" s="34">
        <f>R2-S2</f>
        <v>5103.0700000000024</v>
      </c>
      <c r="U2" s="19">
        <v>1388.98</v>
      </c>
      <c r="V2" s="17">
        <v>-13.39</v>
      </c>
      <c r="W2" s="19">
        <v>17.77</v>
      </c>
      <c r="X2" s="17">
        <f>SUM(U2:W2)</f>
        <v>1393.36</v>
      </c>
      <c r="Y2" s="34">
        <f>T2-X2</f>
        <v>3709.7100000000028</v>
      </c>
      <c r="Z2" s="17">
        <v>114.56</v>
      </c>
      <c r="AA2" s="37">
        <f>Y2+Z2</f>
        <v>3824.2700000000027</v>
      </c>
    </row>
    <row r="3" spans="1:27" ht="15.5" thickTop="1" thickBot="1" x14ac:dyDescent="0.4">
      <c r="A3" s="21" t="s">
        <v>2</v>
      </c>
      <c r="B3" s="17">
        <v>35248.879999999997</v>
      </c>
      <c r="C3" s="19">
        <v>133.24</v>
      </c>
      <c r="D3" s="17">
        <v>112.61</v>
      </c>
      <c r="E3" s="19">
        <v>687.96</v>
      </c>
      <c r="F3" s="34">
        <v>36182.69</v>
      </c>
      <c r="G3" s="19">
        <v>15868.21</v>
      </c>
      <c r="H3" s="17">
        <v>3858.2</v>
      </c>
      <c r="I3" s="19">
        <v>363.8</v>
      </c>
      <c r="J3" s="17">
        <v>2326.1799999999998</v>
      </c>
      <c r="K3" s="19">
        <v>5493.36</v>
      </c>
      <c r="L3" s="23">
        <v>27909.75</v>
      </c>
      <c r="M3" s="34">
        <f>F3-L3</f>
        <v>8272.9400000000023</v>
      </c>
      <c r="N3" s="17">
        <v>205.17</v>
      </c>
      <c r="O3" s="19">
        <v>853</v>
      </c>
      <c r="P3" s="17">
        <v>7347.77</v>
      </c>
      <c r="Q3" s="19">
        <v>133</v>
      </c>
      <c r="R3" s="17">
        <f>P3+Q3</f>
        <v>7480.77</v>
      </c>
      <c r="S3" s="19">
        <v>0</v>
      </c>
      <c r="T3" s="34">
        <f>R3-S3</f>
        <v>7480.77</v>
      </c>
      <c r="U3" s="19">
        <v>1836</v>
      </c>
      <c r="V3" s="17">
        <v>-51.35</v>
      </c>
      <c r="W3" s="19">
        <v>5.43</v>
      </c>
      <c r="X3" s="17">
        <f>SUM(U3:W3)</f>
        <v>1790.0800000000002</v>
      </c>
      <c r="Y3" s="34">
        <f>T3-X3</f>
        <v>5690.6900000000005</v>
      </c>
      <c r="Z3" s="17">
        <v>31.96</v>
      </c>
      <c r="AA3" s="37">
        <f>Y3+Z3</f>
        <v>5722.6500000000005</v>
      </c>
    </row>
    <row r="4" spans="1:27" ht="15" thickTop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7E0C0-1FD6-4E4B-9794-BBD600C4A82A}">
  <dimension ref="A1:F4"/>
  <sheetViews>
    <sheetView workbookViewId="0">
      <selection sqref="A1:F3"/>
    </sheetView>
  </sheetViews>
  <sheetFormatPr defaultRowHeight="14.5" x14ac:dyDescent="0.35"/>
  <sheetData>
    <row r="1" spans="1:6" ht="29.5" thickBot="1" x14ac:dyDescent="0.4">
      <c r="A1" s="30" t="s">
        <v>88</v>
      </c>
      <c r="B1" s="33" t="s">
        <v>49</v>
      </c>
      <c r="C1" s="35" t="s">
        <v>55</v>
      </c>
      <c r="D1" s="31" t="s">
        <v>57</v>
      </c>
      <c r="E1" s="31" t="s">
        <v>65</v>
      </c>
      <c r="F1" s="33" t="s">
        <v>66</v>
      </c>
    </row>
    <row r="2" spans="1:6" ht="15.5" thickTop="1" thickBot="1" x14ac:dyDescent="0.4">
      <c r="A2" s="21" t="s">
        <v>1</v>
      </c>
      <c r="B2" s="34">
        <v>34478.230000000003</v>
      </c>
      <c r="C2" s="23">
        <v>27899.41</v>
      </c>
      <c r="D2" s="17">
        <v>227.02</v>
      </c>
      <c r="E2" s="17">
        <v>1393.36</v>
      </c>
      <c r="F2" s="34">
        <v>3709.7100000000028</v>
      </c>
    </row>
    <row r="3" spans="1:6" ht="15.5" thickTop="1" thickBot="1" x14ac:dyDescent="0.4">
      <c r="A3" s="21" t="s">
        <v>2</v>
      </c>
      <c r="B3" s="34">
        <v>36182.69</v>
      </c>
      <c r="C3" s="23">
        <v>27909.75</v>
      </c>
      <c r="D3" s="17">
        <v>205.17</v>
      </c>
      <c r="E3" s="17">
        <v>1790.0800000000002</v>
      </c>
      <c r="F3" s="34">
        <v>5690.6900000000005</v>
      </c>
    </row>
    <row r="4" spans="1:6" ht="15" thickTop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9685-B861-4FA6-BA99-0359EFFB8E5A}">
  <dimension ref="A1:C11"/>
  <sheetViews>
    <sheetView tabSelected="1" zoomScale="68" workbookViewId="0">
      <selection activeCell="N11" sqref="N11"/>
    </sheetView>
  </sheetViews>
  <sheetFormatPr defaultRowHeight="14.5" x14ac:dyDescent="0.35"/>
  <cols>
    <col min="1" max="3" width="13.6328125" customWidth="1"/>
  </cols>
  <sheetData>
    <row r="1" spans="1:3" x14ac:dyDescent="0.35">
      <c r="A1" s="38" t="s">
        <v>88</v>
      </c>
      <c r="B1" s="39" t="s">
        <v>89</v>
      </c>
      <c r="C1" s="40" t="s">
        <v>90</v>
      </c>
    </row>
    <row r="2" spans="1:3" x14ac:dyDescent="0.35">
      <c r="A2" s="38">
        <v>2025</v>
      </c>
      <c r="B2" s="41" t="s">
        <v>49</v>
      </c>
      <c r="C2" s="42">
        <v>34478.230000000003</v>
      </c>
    </row>
    <row r="3" spans="1:3" x14ac:dyDescent="0.35">
      <c r="A3" s="38">
        <v>2025</v>
      </c>
      <c r="B3" s="41" t="s">
        <v>55</v>
      </c>
      <c r="C3" s="42">
        <v>-27899.41</v>
      </c>
    </row>
    <row r="4" spans="1:3" x14ac:dyDescent="0.35">
      <c r="A4" s="38">
        <v>2025</v>
      </c>
      <c r="B4" s="43" t="s">
        <v>57</v>
      </c>
      <c r="C4" s="38">
        <v>-227.02</v>
      </c>
    </row>
    <row r="5" spans="1:3" ht="29" x14ac:dyDescent="0.35">
      <c r="A5" s="38">
        <v>2025</v>
      </c>
      <c r="B5" s="43" t="s">
        <v>65</v>
      </c>
      <c r="C5" s="38">
        <v>-1393.36</v>
      </c>
    </row>
    <row r="6" spans="1:3" ht="29" x14ac:dyDescent="0.35">
      <c r="A6" s="38">
        <v>2025</v>
      </c>
      <c r="B6" s="41" t="s">
        <v>66</v>
      </c>
      <c r="C6" s="42">
        <f>SUM(C2:C5)</f>
        <v>4958.4400000000032</v>
      </c>
    </row>
    <row r="7" spans="1:3" x14ac:dyDescent="0.35">
      <c r="A7" s="38">
        <v>2024</v>
      </c>
      <c r="B7" s="41" t="s">
        <v>49</v>
      </c>
      <c r="C7" s="42">
        <v>36182.69</v>
      </c>
    </row>
    <row r="8" spans="1:3" x14ac:dyDescent="0.35">
      <c r="A8" s="38">
        <v>2024</v>
      </c>
      <c r="B8" s="41" t="s">
        <v>55</v>
      </c>
      <c r="C8" s="42">
        <v>-27909.75</v>
      </c>
    </row>
    <row r="9" spans="1:3" x14ac:dyDescent="0.35">
      <c r="A9" s="38">
        <v>2024</v>
      </c>
      <c r="B9" s="43" t="s">
        <v>57</v>
      </c>
      <c r="C9" s="38">
        <v>-205.17</v>
      </c>
    </row>
    <row r="10" spans="1:3" ht="29" x14ac:dyDescent="0.35">
      <c r="A10" s="38">
        <v>2024</v>
      </c>
      <c r="B10" s="43" t="s">
        <v>65</v>
      </c>
      <c r="C10" s="38">
        <v>-1790.08</v>
      </c>
    </row>
    <row r="11" spans="1:3" ht="29" x14ac:dyDescent="0.35">
      <c r="A11" s="38">
        <v>2024</v>
      </c>
      <c r="B11" s="41" t="s">
        <v>66</v>
      </c>
      <c r="C11" s="42">
        <f>SUM(C7:C10)</f>
        <v>6277.6900000000023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Balance Sheet</vt:lpstr>
      <vt:lpstr>Profit &amp; Loss</vt:lpstr>
      <vt:lpstr>Analysis</vt:lpstr>
      <vt:lpstr>BS Analysis</vt:lpstr>
      <vt:lpstr>PL Analysis</vt:lpstr>
      <vt:lpstr>Waterfall</vt:lpstr>
      <vt:lpstr>Waterfall with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sangam singh</cp:lastModifiedBy>
  <dcterms:created xsi:type="dcterms:W3CDTF">2026-05-30T08:45:19Z</dcterms:created>
  <dcterms:modified xsi:type="dcterms:W3CDTF">2026-05-31T12:02:16Z</dcterms:modified>
</cp:coreProperties>
</file>